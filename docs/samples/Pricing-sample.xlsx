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8_{9D2170D5-565F-4998-B6E6-71140258EF98}" xr6:coauthVersionLast="47" xr6:coauthVersionMax="47" xr10:uidLastSave="{00000000-0000-0000-0000-000000000000}"/>
  <bookViews>
    <workbookView xWindow="-108" yWindow="-108" windowWidth="23256" windowHeight="12456" xr2:uid="{0B6447D1-9413-4B31-9A66-427B317BA2BC}"/>
  </bookViews>
  <sheets>
    <sheet name="Template for Ap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3" i="1" l="1"/>
  <c r="J22" i="1"/>
  <c r="E22" i="1"/>
  <c r="F20" i="1"/>
  <c r="I20" i="1" s="1"/>
  <c r="I19" i="1"/>
  <c r="J19" i="1" s="1"/>
  <c r="F19" i="1"/>
  <c r="F18" i="1"/>
  <c r="I18" i="1" s="1"/>
  <c r="J18" i="1" s="1"/>
  <c r="J17" i="1"/>
  <c r="I17" i="1"/>
  <c r="F17" i="1"/>
  <c r="L16" i="1"/>
  <c r="I16" i="1"/>
  <c r="H16" i="1"/>
  <c r="G16" i="1"/>
  <c r="J16" i="1" s="1"/>
  <c r="F16" i="1"/>
  <c r="F15" i="1"/>
  <c r="I15" i="1" s="1"/>
  <c r="J15" i="1" l="1"/>
  <c r="I21" i="1"/>
  <c r="G20" i="1"/>
  <c r="H20" i="1"/>
  <c r="H21" i="1" s="1"/>
  <c r="G21" i="1" l="1"/>
  <c r="J21" i="1" s="1"/>
  <c r="J24" i="1" s="1"/>
  <c r="J20" i="1"/>
  <c r="J25" i="1" l="1"/>
  <c r="J26" i="1" s="1"/>
  <c r="J28" i="1" l="1"/>
  <c r="M28" i="1" s="1"/>
  <c r="J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Ramesh Babu Venugopal</author>
  </authors>
  <commentList>
    <comment ref="I5" authorId="0" shapeId="0" xr:uid="{3AF1D19B-9DC5-4BB1-8608-9B6CE8B6F0CC}">
      <text>
        <r>
          <rPr>
            <b/>
            <sz val="9"/>
            <color indexed="81"/>
            <rFont val="Tahoma"/>
            <family val="2"/>
          </rPr>
          <t xml:space="preserve">CPD-PP - </t>
        </r>
        <r>
          <rPr>
            <sz val="9"/>
            <color indexed="81"/>
            <rFont val="Tahoma"/>
            <family val="2"/>
          </rPr>
          <t xml:space="preserve">Cost Per Day - Per Person
</t>
        </r>
      </text>
    </comment>
    <comment ref="E14" authorId="0" shapeId="0" xr:uid="{00EDBCB6-54B6-452B-B08F-6A5E22234EAE}">
      <text>
        <r>
          <rPr>
            <b/>
            <sz val="9"/>
            <color indexed="81"/>
            <rFont val="Tahoma"/>
            <family val="2"/>
          </rPr>
          <t xml:space="preserve">PPD-PP - </t>
        </r>
        <r>
          <rPr>
            <sz val="9"/>
            <color indexed="81"/>
            <rFont val="Tahoma"/>
            <family val="2"/>
          </rPr>
          <t>Productivity Per Day - Per Person</t>
        </r>
      </text>
    </comment>
  </commentList>
</comments>
</file>

<file path=xl/sharedStrings.xml><?xml version="1.0" encoding="utf-8"?>
<sst xmlns="http://schemas.openxmlformats.org/spreadsheetml/2006/main" count="54" uniqueCount="43">
  <si>
    <t>Client Name</t>
  </si>
  <si>
    <t>City</t>
  </si>
  <si>
    <t>Vertical</t>
  </si>
  <si>
    <t>Propsal No</t>
  </si>
  <si>
    <t>PO No</t>
  </si>
  <si>
    <t>Status</t>
  </si>
  <si>
    <t>Propsal Date</t>
  </si>
  <si>
    <t>PO Date</t>
  </si>
  <si>
    <t>Room Exp- 
per day/ person</t>
  </si>
  <si>
    <t>Food Exp 
per day/ person</t>
  </si>
  <si>
    <t>Salary CPD-PP</t>
  </si>
  <si>
    <t># of Assets</t>
  </si>
  <si>
    <t>Tracking</t>
  </si>
  <si>
    <t># of Branch</t>
  </si>
  <si>
    <t>Data Audit</t>
  </si>
  <si>
    <t xml:space="preserve"> </t>
  </si>
  <si>
    <t>Sr Executive</t>
  </si>
  <si>
    <t>Optional</t>
  </si>
  <si>
    <t>Cost per Branch</t>
  </si>
  <si>
    <t>Travel/ Local Convy. Exp</t>
  </si>
  <si>
    <t>#</t>
  </si>
  <si>
    <t>Scope</t>
  </si>
  <si>
    <t>Phases</t>
  </si>
  <si>
    <t>PPD-PP</t>
  </si>
  <si>
    <t>Effort in Days</t>
  </si>
  <si>
    <t>Room Exp</t>
  </si>
  <si>
    <t>Food 
Exp</t>
  </si>
  <si>
    <t>Salary</t>
  </si>
  <si>
    <t>Total</t>
  </si>
  <si>
    <t>Yes</t>
  </si>
  <si>
    <t>FAR</t>
  </si>
  <si>
    <t>PV</t>
  </si>
  <si>
    <t>DC</t>
  </si>
  <si>
    <t>DM</t>
  </si>
  <si>
    <t>DR</t>
  </si>
  <si>
    <t>No</t>
  </si>
  <si>
    <t>TG</t>
  </si>
  <si>
    <t>Travel Cost</t>
  </si>
  <si>
    <t>Sub-total</t>
  </si>
  <si>
    <t xml:space="preserve">Overheads @ </t>
  </si>
  <si>
    <t xml:space="preserve">Profit @ </t>
  </si>
  <si>
    <t xml:space="preserve">Final Price </t>
  </si>
  <si>
    <t>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</si>
</sst>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rgb="FFC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4" fillId="0" borderId="0" xfId="0" applyFont="1"/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0" fillId="3" borderId="1" xfId="0" applyFill="1" applyBorder="1" applyAlignment="1">
      <alignment horizontal="left" vertical="center" wrapText="1"/>
    </xf>
    <xf numFmtId="164" fontId="0" fillId="5" borderId="1" xfId="1" applyNumberFormat="1" applyFont="1" applyFill="1" applyBorder="1"/>
    <xf numFmtId="164" fontId="0" fillId="6" borderId="1" xfId="1" applyNumberFormat="1" applyFont="1" applyFill="1" applyBorder="1"/>
    <xf numFmtId="0" fontId="0" fillId="0" borderId="0" xfId="0" quotePrefix="1"/>
    <xf numFmtId="0" fontId="0" fillId="3" borderId="0" xfId="0" applyFill="1" applyAlignment="1">
      <alignment horizontal="left" vertical="center" wrapText="1"/>
    </xf>
    <xf numFmtId="164" fontId="0" fillId="6" borderId="0" xfId="1" applyNumberFormat="1" applyFont="1" applyFill="1" applyBorder="1"/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10" borderId="1" xfId="1" applyNumberFormat="1" applyFont="1" applyFill="1" applyBorder="1"/>
    <xf numFmtId="164" fontId="0" fillId="0" borderId="1" xfId="1" applyNumberFormat="1" applyFont="1" applyBorder="1"/>
    <xf numFmtId="164" fontId="0" fillId="0" borderId="0" xfId="0" applyNumberFormat="1"/>
    <xf numFmtId="164" fontId="0" fillId="11" borderId="1" xfId="0" applyNumberFormat="1" applyFill="1" applyBorder="1"/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4" fontId="0" fillId="12" borderId="1" xfId="1" applyNumberFormat="1" applyFont="1" applyFill="1" applyBorder="1"/>
    <xf numFmtId="9" fontId="0" fillId="0" borderId="0" xfId="0" applyNumberFormat="1"/>
    <xf numFmtId="164" fontId="0" fillId="13" borderId="1" xfId="1" applyNumberFormat="1" applyFont="1" applyFill="1" applyBorder="1"/>
    <xf numFmtId="164" fontId="0" fillId="8" borderId="1" xfId="1" applyNumberFormat="1" applyFont="1" applyFill="1" applyBorder="1"/>
    <xf numFmtId="0" fontId="3" fillId="7" borderId="0" xfId="0" applyFont="1" applyFill="1" applyAlignment="1">
      <alignment horizontal="right" vertical="center"/>
    </xf>
    <xf numFmtId="164" fontId="0" fillId="14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62A7-791C-4FFD-8532-90C0E8DE40B1}">
  <dimension ref="B1:M29"/>
  <sheetViews>
    <sheetView tabSelected="1" topLeftCell="A18" zoomScale="110" zoomScaleNormal="110" workbookViewId="0">
      <selection activeCell="E29" sqref="E29"/>
    </sheetView>
  </sheetViews>
  <sheetFormatPr defaultRowHeight="14.4" x14ac:dyDescent="0.3"/>
  <cols>
    <col min="1" max="1" width="5.44140625" customWidth="1"/>
    <col min="2" max="2" width="4.88671875" customWidth="1"/>
    <col min="3" max="3" width="23.33203125" customWidth="1"/>
    <col min="4" max="4" width="17" bestFit="1" customWidth="1"/>
    <col min="5" max="5" width="9.44140625" customWidth="1"/>
    <col min="6" max="6" width="11.5546875" customWidth="1"/>
    <col min="7" max="7" width="11.6640625" bestFit="1" customWidth="1"/>
    <col min="8" max="8" width="10.5546875" customWidth="1"/>
    <col min="9" max="9" width="12.33203125" bestFit="1" customWidth="1"/>
    <col min="10" max="10" width="11.88671875" customWidth="1"/>
    <col min="11" max="11" width="4.6640625" style="2" customWidth="1"/>
    <col min="12" max="12" width="14.109375" customWidth="1"/>
    <col min="13" max="13" width="31.33203125" customWidth="1"/>
  </cols>
  <sheetData>
    <row r="1" spans="2:13" ht="21" x14ac:dyDescent="0.4">
      <c r="C1" s="1" t="s">
        <v>0</v>
      </c>
      <c r="F1" t="s">
        <v>1</v>
      </c>
      <c r="I1" t="s">
        <v>2</v>
      </c>
    </row>
    <row r="2" spans="2:13" x14ac:dyDescent="0.3">
      <c r="C2" t="s">
        <v>3</v>
      </c>
      <c r="F2" t="s">
        <v>4</v>
      </c>
      <c r="I2" t="s">
        <v>5</v>
      </c>
    </row>
    <row r="3" spans="2:13" x14ac:dyDescent="0.3">
      <c r="C3" t="s">
        <v>6</v>
      </c>
      <c r="F3" t="s">
        <v>7</v>
      </c>
    </row>
    <row r="5" spans="2:13" ht="43.2" x14ac:dyDescent="0.3">
      <c r="C5" s="3" t="s">
        <v>0</v>
      </c>
      <c r="F5" s="4"/>
      <c r="G5" s="5" t="s">
        <v>8</v>
      </c>
      <c r="H5" s="6" t="s">
        <v>9</v>
      </c>
      <c r="I5" s="7" t="s">
        <v>10</v>
      </c>
    </row>
    <row r="6" spans="2:13" x14ac:dyDescent="0.3">
      <c r="C6" s="4" t="s">
        <v>11</v>
      </c>
      <c r="D6" s="4">
        <v>5000</v>
      </c>
      <c r="F6" s="4" t="s">
        <v>12</v>
      </c>
      <c r="G6" s="4">
        <v>1000</v>
      </c>
      <c r="H6" s="4">
        <v>500</v>
      </c>
      <c r="I6" s="4">
        <v>1000</v>
      </c>
    </row>
    <row r="7" spans="2:13" x14ac:dyDescent="0.3">
      <c r="C7" s="4" t="s">
        <v>13</v>
      </c>
      <c r="D7" s="4">
        <v>3</v>
      </c>
      <c r="F7" s="4" t="s">
        <v>14</v>
      </c>
      <c r="G7" s="4" t="s">
        <v>15</v>
      </c>
      <c r="H7" s="4"/>
      <c r="I7" s="4">
        <v>1000</v>
      </c>
    </row>
    <row r="8" spans="2:13" x14ac:dyDescent="0.3">
      <c r="F8" s="4" t="s">
        <v>16</v>
      </c>
      <c r="G8" s="4">
        <v>2000</v>
      </c>
      <c r="H8" s="4">
        <v>1000</v>
      </c>
      <c r="I8" s="4">
        <v>2500</v>
      </c>
      <c r="J8" s="8" t="s">
        <v>17</v>
      </c>
    </row>
    <row r="10" spans="2:13" x14ac:dyDescent="0.3">
      <c r="B10" s="9">
        <v>2</v>
      </c>
      <c r="C10" s="10" t="s">
        <v>18</v>
      </c>
      <c r="D10" s="11">
        <v>5000</v>
      </c>
    </row>
    <row r="11" spans="2:13" x14ac:dyDescent="0.3">
      <c r="B11" s="9">
        <v>3</v>
      </c>
      <c r="C11" s="10" t="s">
        <v>19</v>
      </c>
      <c r="D11" s="12">
        <v>25000</v>
      </c>
      <c r="M11" s="13" t="s">
        <v>15</v>
      </c>
    </row>
    <row r="12" spans="2:13" x14ac:dyDescent="0.3">
      <c r="B12" s="9"/>
      <c r="C12" s="14"/>
      <c r="D12" s="15"/>
      <c r="M12" s="13"/>
    </row>
    <row r="14" spans="2:13" s="23" customFormat="1" ht="28.8" x14ac:dyDescent="0.3">
      <c r="B14" s="16" t="s">
        <v>20</v>
      </c>
      <c r="C14" s="17" t="s">
        <v>21</v>
      </c>
      <c r="D14" s="18" t="s">
        <v>22</v>
      </c>
      <c r="E14" s="7" t="s">
        <v>23</v>
      </c>
      <c r="F14" s="19" t="s">
        <v>24</v>
      </c>
      <c r="G14" s="5" t="s">
        <v>25</v>
      </c>
      <c r="H14" s="6" t="s">
        <v>26</v>
      </c>
      <c r="I14" s="7" t="s">
        <v>27</v>
      </c>
      <c r="J14" s="20" t="s">
        <v>28</v>
      </c>
      <c r="K14" s="21"/>
      <c r="L14" s="22" t="s">
        <v>15</v>
      </c>
    </row>
    <row r="15" spans="2:13" x14ac:dyDescent="0.3">
      <c r="B15" s="4">
        <v>1</v>
      </c>
      <c r="C15" s="4" t="s">
        <v>29</v>
      </c>
      <c r="D15" s="4" t="s">
        <v>30</v>
      </c>
      <c r="E15" s="4">
        <v>800</v>
      </c>
      <c r="F15" s="24">
        <f t="shared" ref="F15:F20" si="0">IF(C15="Yes",$D$6/E15,0)</f>
        <v>6.25</v>
      </c>
      <c r="G15" s="25" t="s">
        <v>15</v>
      </c>
      <c r="H15" s="25" t="s">
        <v>15</v>
      </c>
      <c r="I15" s="25">
        <f>$F$15*$I$7</f>
        <v>6250</v>
      </c>
      <c r="J15" s="25">
        <f t="shared" ref="J15:J21" si="1">SUM(G15:I15)</f>
        <v>6250</v>
      </c>
    </row>
    <row r="16" spans="2:13" x14ac:dyDescent="0.3">
      <c r="B16" s="4">
        <v>2</v>
      </c>
      <c r="C16" s="4" t="s">
        <v>29</v>
      </c>
      <c r="D16" s="4" t="s">
        <v>31</v>
      </c>
      <c r="E16" s="4">
        <v>150</v>
      </c>
      <c r="F16" s="24">
        <f t="shared" si="0"/>
        <v>33.333333333333336</v>
      </c>
      <c r="G16" s="25">
        <f>F16*$G$6</f>
        <v>33333.333333333336</v>
      </c>
      <c r="H16" s="25">
        <f>F16*$H$6</f>
        <v>16666.666666666668</v>
      </c>
      <c r="I16" s="25">
        <f>F16*$I$7</f>
        <v>33333.333333333336</v>
      </c>
      <c r="J16" s="25">
        <f t="shared" si="1"/>
        <v>83333.333333333343</v>
      </c>
      <c r="L16" s="26">
        <f>F16/4</f>
        <v>8.3333333333333339</v>
      </c>
    </row>
    <row r="17" spans="2:13" x14ac:dyDescent="0.3">
      <c r="B17" s="4">
        <v>3</v>
      </c>
      <c r="C17" s="4" t="s">
        <v>29</v>
      </c>
      <c r="D17" s="4" t="s">
        <v>32</v>
      </c>
      <c r="E17" s="4">
        <v>500</v>
      </c>
      <c r="F17" s="24">
        <f t="shared" si="0"/>
        <v>10</v>
      </c>
      <c r="G17" s="25"/>
      <c r="H17" s="25"/>
      <c r="I17" s="25">
        <f>F17*$I$7</f>
        <v>10000</v>
      </c>
      <c r="J17" s="25">
        <f t="shared" si="1"/>
        <v>10000</v>
      </c>
    </row>
    <row r="18" spans="2:13" x14ac:dyDescent="0.3">
      <c r="B18" s="4">
        <v>4</v>
      </c>
      <c r="C18" s="4" t="s">
        <v>29</v>
      </c>
      <c r="D18" s="4" t="s">
        <v>33</v>
      </c>
      <c r="E18" s="4">
        <v>750</v>
      </c>
      <c r="F18" s="24">
        <f t="shared" si="0"/>
        <v>6.666666666666667</v>
      </c>
      <c r="G18" s="25"/>
      <c r="H18" s="25"/>
      <c r="I18" s="25">
        <f>F18*$I$7</f>
        <v>6666.666666666667</v>
      </c>
      <c r="J18" s="25">
        <f t="shared" si="1"/>
        <v>6666.666666666667</v>
      </c>
    </row>
    <row r="19" spans="2:13" x14ac:dyDescent="0.3">
      <c r="B19" s="4">
        <v>5</v>
      </c>
      <c r="C19" s="4" t="s">
        <v>29</v>
      </c>
      <c r="D19" s="4" t="s">
        <v>34</v>
      </c>
      <c r="E19" s="4">
        <v>100</v>
      </c>
      <c r="F19" s="24">
        <f t="shared" si="0"/>
        <v>50</v>
      </c>
      <c r="G19" s="25"/>
      <c r="H19" s="25"/>
      <c r="I19" s="25">
        <f>F19*$I$6</f>
        <v>50000</v>
      </c>
      <c r="J19" s="25">
        <f t="shared" si="1"/>
        <v>50000</v>
      </c>
    </row>
    <row r="20" spans="2:13" x14ac:dyDescent="0.3">
      <c r="B20" s="4">
        <v>6</v>
      </c>
      <c r="C20" s="4" t="s">
        <v>35</v>
      </c>
      <c r="D20" s="4" t="s">
        <v>36</v>
      </c>
      <c r="E20" s="4">
        <v>70</v>
      </c>
      <c r="F20" s="24">
        <f t="shared" si="0"/>
        <v>0</v>
      </c>
      <c r="G20" s="25">
        <f>F20*$G$6</f>
        <v>0</v>
      </c>
      <c r="H20" s="25">
        <f>F20*$H$6</f>
        <v>0</v>
      </c>
      <c r="I20" s="25">
        <f>F20*$I$6</f>
        <v>0</v>
      </c>
      <c r="J20" s="25">
        <f t="shared" si="1"/>
        <v>0</v>
      </c>
    </row>
    <row r="21" spans="2:13" x14ac:dyDescent="0.3">
      <c r="B21" s="4"/>
      <c r="C21" s="4"/>
      <c r="D21" s="4"/>
      <c r="E21" s="4"/>
      <c r="F21" s="4"/>
      <c r="G21" s="27">
        <f>SUM(G15:G20)</f>
        <v>33333.333333333336</v>
      </c>
      <c r="H21" s="27">
        <f t="shared" ref="H21:I21" si="2">SUM(H15:H20)</f>
        <v>16666.666666666668</v>
      </c>
      <c r="I21" s="27">
        <f t="shared" si="2"/>
        <v>106250</v>
      </c>
      <c r="J21" s="27">
        <f t="shared" si="1"/>
        <v>156250</v>
      </c>
    </row>
    <row r="22" spans="2:13" x14ac:dyDescent="0.3">
      <c r="D22" s="28" t="s">
        <v>13</v>
      </c>
      <c r="E22">
        <f>D7</f>
        <v>3</v>
      </c>
      <c r="J22" s="11">
        <f>D10*E22</f>
        <v>15000</v>
      </c>
      <c r="K22" s="29">
        <v>2</v>
      </c>
    </row>
    <row r="23" spans="2:13" x14ac:dyDescent="0.3">
      <c r="D23" s="28" t="s">
        <v>37</v>
      </c>
      <c r="J23" s="12">
        <f>D11</f>
        <v>25000</v>
      </c>
      <c r="K23" s="29">
        <v>3</v>
      </c>
    </row>
    <row r="24" spans="2:13" x14ac:dyDescent="0.3">
      <c r="D24" s="30" t="s">
        <v>38</v>
      </c>
      <c r="J24" s="31">
        <f>J21+J23+J22</f>
        <v>196250</v>
      </c>
    </row>
    <row r="25" spans="2:13" x14ac:dyDescent="0.3">
      <c r="D25" s="28" t="s">
        <v>39</v>
      </c>
      <c r="E25" s="32">
        <v>0.5</v>
      </c>
      <c r="J25" s="33">
        <f>J24*E25</f>
        <v>98125</v>
      </c>
    </row>
    <row r="26" spans="2:13" x14ac:dyDescent="0.3">
      <c r="D26" s="30" t="s">
        <v>38</v>
      </c>
      <c r="J26" s="31">
        <f>J24+J25</f>
        <v>294375</v>
      </c>
    </row>
    <row r="27" spans="2:13" x14ac:dyDescent="0.3">
      <c r="D27" s="28" t="s">
        <v>40</v>
      </c>
      <c r="E27" s="32">
        <v>0.5</v>
      </c>
      <c r="J27" s="34">
        <f>J26*E27</f>
        <v>147187.5</v>
      </c>
    </row>
    <row r="28" spans="2:13" x14ac:dyDescent="0.3">
      <c r="D28" s="35" t="s">
        <v>41</v>
      </c>
      <c r="J28" s="36">
        <f>J26+J27</f>
        <v>441562.5</v>
      </c>
      <c r="M28" s="26">
        <f>J28/D6</f>
        <v>88.3125</v>
      </c>
    </row>
    <row r="29" spans="2:13" x14ac:dyDescent="0.3">
      <c r="D29" t="s">
        <v>42</v>
      </c>
      <c r="J29" s="25"/>
    </row>
  </sheetData>
  <dataValidations count="2">
    <dataValidation type="list" allowBlank="1" showInputMessage="1" showErrorMessage="1" sqref="E25 E27" xr:uid="{F103B84D-87FF-4552-B2FD-B16A4BF32B28}">
      <formula1>"20%,30%,40%,50%,60%,70%,80%"</formula1>
    </dataValidation>
    <dataValidation type="list" allowBlank="1" showInputMessage="1" showErrorMessage="1" sqref="C15:C20" xr:uid="{0820DB66-9B89-467F-A7DD-B52421808BBC}">
      <formula1>"Yes, No"</formula1>
    </dataValidation>
  </dataValidations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for Apps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 Fazlee Ali</dc:creator>
  <cp:lastModifiedBy>Mir Fazlee Ali</cp:lastModifiedBy>
  <dcterms:created xsi:type="dcterms:W3CDTF">2026-10-17T12:18:53Z</dcterms:created>
  <dcterms:modified xsi:type="dcterms:W3CDTF">2026-10-17T12:19:33Z</dcterms:modified>
</cp:coreProperties>
</file>